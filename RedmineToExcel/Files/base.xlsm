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14E151D2-3213-444B-87B4-11120AA12488}" xr6:coauthVersionLast="34" xr6:coauthVersionMax="34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開発線表!$B$4:$J$4</definedName>
    <definedName name="_xlnm.Print_Area" localSheetId="0">開発線表!$A$2:$I$6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<sst xmlns="http://schemas.openxmlformats.org/spreadsheetml/2006/main" count="95" uniqueCount="60">
  <si>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</si>
  <si>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</si>
  <si>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</si>
  <si>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</si>
  <si>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</si>
  <si>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</si>
  <si>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</si>
  <si>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</si>
  <si>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</si>
  <si>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</si>
  <si>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</si>
  <si>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</si>
  <si>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</si>
  <si>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</si>
  <si>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</si>
  <si>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</si>
  <si>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</si>
  <si>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</si>
  <si>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</si>
  <si>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</si>
  <si>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</si>
  <si>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</si>
  <si>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</si>
  <si>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</si>
  <si>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</si>
  <si>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</si>
  <si>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</si>
  <si>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</si>
  <si>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</si>
  <si>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</si>
  <si>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</si>
  <si>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</si>
  <si>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</si>
  <si>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</si>
  <si>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</si>
  <si>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</si>
  <si>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</si>
  <si>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</si>
  <si>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</si>
  <si>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</si>
  <si>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</si>
  <si>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</si>
  <si>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</si>
  <si>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</si>
  <si>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</si>
  <si>
    <t>トラッカー</t>
    <phoneticPr fontId="1"/>
  </si>
  <si>
    <t>終了日</t>
    <rPh sb="0" eb="3">
      <t>シュウリョウビ</t>
    </rPh>
    <phoneticPr fontId="0"/>
  </si>
  <si>
    <t>表示設定</t>
    <rPh sb="0" eb="4">
      <t>ヒョウジセッテイ</t>
    </rPh>
    <phoneticPr fontId="4"/>
  </si>
  <si>
    <t>週間</t>
    <rPh sb="0" eb="2">
      <t>シュウカン</t>
    </rPh>
    <phoneticPr fontId="4"/>
  </si>
  <si>
    <t>日間</t>
    <rPh sb="0" eb="2">
      <t>ニッカン</t>
    </rPh>
    <phoneticPr fontId="4"/>
  </si>
  <si>
    <t>表示設定</t>
    <rPh sb="0" eb="4">
      <t>ヒョウジセッテイ</t>
    </rPh>
    <phoneticPr fontId="1"/>
  </si>
  <si>
    <t>■週間・日間表示</t>
    <rPh sb="1" eb="3">
      <t>シュウカン</t>
    </rPh>
    <rPh sb="4" eb="6">
      <t>ニッカン</t>
    </rPh>
    <rPh sb="6" eb="8">
      <t>ヒョウジ</t>
    </rPh>
    <phoneticPr fontId="1"/>
  </si>
  <si>
    <t>線太さ</t>
    <rPh sb="0" eb="1">
      <t>セン</t>
    </rPh>
    <rPh sb="1" eb="2">
      <t>フト</t>
    </rPh>
    <phoneticPr fontId="4"/>
  </si>
  <si>
    <t>細め</t>
    <rPh sb="0" eb="1">
      <t>ホソ</t>
    </rPh>
    <phoneticPr fontId="4"/>
  </si>
  <si>
    <t>普通</t>
    <rPh sb="0" eb="2">
      <t>フツウ</t>
    </rPh>
    <phoneticPr fontId="4"/>
  </si>
  <si>
    <t>太め</t>
    <rPh sb="0" eb="1">
      <t>フト</t>
    </rPh>
    <phoneticPr fontId="4"/>
  </si>
  <si>
    <t>■線太さ</t>
    <rPh sb="1" eb="2">
      <t>セン</t>
    </rPh>
    <rPh sb="2" eb="3">
      <t>フト</t>
    </rPh>
    <phoneticPr fontId="1"/>
  </si>
  <si>
    <t>太さ設定</t>
    <rPh sb="0" eb="1">
      <t>フト</t>
    </rPh>
    <rPh sb="2" eb="4">
      <t>セッテイ</t>
    </rPh>
    <phoneticPr fontId="1"/>
  </si>
  <si>
    <t>終了済み</t>
    <rPh sb="0" eb="2">
      <t>シュウリョウ</t>
    </rPh>
    <rPh sb="2" eb="3">
      <t>ズ</t>
    </rPh>
    <phoneticPr fontId="1"/>
  </si>
  <si>
    <t>IsParent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</si>
</sst>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14" fontId="2" fillId="2" borderId="4" xfId="0" applyNumberFormat="1" applyFont="1" applyFill="1" applyBorder="1" applyAlignment="1" applyProtection="1">
      <alignment horizontal="center" vertical="center"/>
    </xf>
    <xf numFmtId="0" fontId="2" fillId="2" borderId="7" xfId="0" applyNumberFormat="1" applyFont="1" applyFill="1" applyBorder="1" applyAlignment="1" applyProtection="1">
      <alignment horizontal="center" vertical="center"/>
    </xf>
    <xf numFmtId="14" fontId="2" fillId="2" borderId="5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7" fillId="3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2" borderId="4" xfId="0" applyNumberFormat="1" applyFont="1" applyFill="1" applyBorder="1" applyAlignment="1" applyProtection="1">
      <alignment horizontal="center" vertical="center"/>
    </xf>
    <xf numFmtId="0" fontId="2" fillId="2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3" borderId="13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14" fontId="2" fillId="2" borderId="7" xfId="0" applyNumberFormat="1" applyFont="1" applyFill="1" applyBorder="1" applyAlignment="1" applyProtection="1">
      <alignment horizontal="center" vertical="center"/>
    </xf>
    <xf numFmtId="0" fontId="0" fillId="2" borderId="15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2" fillId="2" borderId="15" xfId="0" applyNumberFormat="1" applyFon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vertical="center"/>
    </xf>
    <xf numFmtId="0" fontId="0" fillId="2" borderId="0" xfId="0" applyNumberFormat="1" applyFill="1" applyAlignment="1" applyProtection="1">
      <alignment vertical="center"/>
    </xf>
    <xf numFmtId="0" fontId="2" fillId="2" borderId="0" xfId="0" applyNumberFormat="1" applyFont="1" applyFill="1" applyAlignment="1" applyProtection="1">
      <alignment vertical="center"/>
    </xf>
    <xf numFmtId="0" fontId="0" fillId="4" borderId="14" xfId="0" applyNumberFormat="1" applyFont="1" applyFill="1" applyBorder="1" applyAlignment="1" applyProtection="1">
      <alignment horizontal="center" vertical="center"/>
    </xf>
    <xf numFmtId="0" fontId="2" fillId="4" borderId="14" xfId="0" applyNumberFormat="1" applyFont="1" applyFill="1" applyBorder="1" applyAlignment="1" applyProtection="1">
      <alignment horizontal="center" vertical="center"/>
    </xf>
    <xf numFmtId="0" fontId="2" fillId="4" borderId="3" xfId="0" applyNumberFormat="1" applyFont="1" applyFill="1" applyBorder="1" applyAlignment="1" applyProtection="1">
      <alignment horizontal="center" vertical="center"/>
    </xf>
    <xf numFmtId="0" fontId="2" fillId="4" borderId="6" xfId="0" applyNumberFormat="1" applyFont="1" applyFill="1" applyBorder="1" applyAlignment="1" applyProtection="1">
      <alignment horizontal="center" vertical="center"/>
    </xf>
    <xf numFmtId="0" fontId="2" fillId="4" borderId="2" xfId="0" applyNumberFormat="1" applyFont="1" applyFill="1" applyBorder="1" applyAlignment="1" applyProtection="1">
      <alignment horizontal="center" vertical="center"/>
    </xf>
    <xf numFmtId="0" fontId="2" fillId="4" borderId="8" xfId="0" applyNumberFormat="1" applyFont="1" applyFill="1" applyBorder="1" applyAlignment="1" applyProtection="1">
      <alignment horizontal="center" vertical="center"/>
    </xf>
    <xf numFmtId="0" fontId="2" fillId="4" borderId="9" xfId="0" applyNumberFormat="1" applyFont="1" applyFill="1" applyBorder="1" applyAlignment="1" applyProtection="1">
      <alignment horizontal="center" vertical="center"/>
    </xf>
    <xf numFmtId="0" fontId="2" fillId="4" borderId="10" xfId="0" applyNumberFormat="1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3" borderId="1" xfId="0" applyNumberForma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L6"/>
  <sheetViews>
    <sheetView showGridLines="0" tabSelected="1" zoomScaleNormal="100" zoomScaleSheetLayoutView="110" workbookViewId="0">
      <selection activeCell="C12" sqref="C12"/>
    </sheetView>
  </sheetViews>
  <sheetFormatPr defaultColWidth="9.33203125" defaultRowHeight="11.25"/>
  <cols>
    <col min="1" max="1" width="6.83203125" style="6" customWidth="1"/>
    <col min="2" max="2" width="41" style="4" customWidth="1"/>
    <col min="3" max="4" width="12.83203125" style="6" customWidth="1"/>
    <col min="5" max="6" width="7.83203125" style="6" customWidth="1"/>
    <col min="7" max="7" width="12.83203125" style="6" customWidth="1"/>
    <col min="8" max="11" width="7.83203125" style="6" customWidth="1"/>
    <col min="12" max="12" width="7.83203125" style="4" customWidth="1"/>
    <col min="13" max="16384" width="9.33203125" style="4"/>
  </cols>
  <sheetData>
    <row r="1" spans="1:12" s="5" customFormat="1" ht="37.5" customHeight="1">
      <c r="A1" s="27"/>
      <c r="F1" s="18"/>
      <c r="G1" s="18"/>
      <c r="H1" s="18"/>
      <c r="I1" s="18"/>
      <c r="J1" s="18"/>
      <c r="K1" s="18"/>
    </row>
    <row r="2" spans="1:12" s="5" customFormat="1" ht="15" customHeight="1">
      <c r="A2" s="29" t="s">
        <v>7</v>
      </c>
      <c r="B2" s="43"/>
      <c r="C2" s="43"/>
      <c r="D2" s="43"/>
      <c r="E2" s="43"/>
      <c r="F2" s="18"/>
      <c r="G2" s="18"/>
      <c r="H2" s="18"/>
      <c r="I2" s="18"/>
      <c r="J2" s="18"/>
      <c r="K2" s="18"/>
    </row>
    <row r="3" spans="1:12" s="5" customFormat="1" ht="15" customHeight="1">
      <c r="A3" s="30"/>
      <c r="B3" s="22"/>
      <c r="C3" s="44" t="s">
        <v>8</v>
      </c>
      <c r="D3" s="44"/>
      <c r="E3" s="22"/>
      <c r="F3" s="22"/>
      <c r="G3" s="22"/>
      <c r="H3" s="45" t="s">
        <v>9</v>
      </c>
      <c r="I3" s="45"/>
      <c r="J3" s="45"/>
      <c r="K3" s="45"/>
      <c r="L3" s="45"/>
    </row>
    <row r="4" spans="1:12" s="5" customFormat="1" ht="15" customHeight="1">
      <c r="A4" s="21" t="s">
        <v>21</v>
      </c>
      <c r="B4" s="21" t="s">
        <v>20</v>
      </c>
      <c r="C4" s="19" t="s">
        <v>0</v>
      </c>
      <c r="D4" s="19" t="s">
        <v>1</v>
      </c>
      <c r="E4" s="21" t="s">
        <v>22</v>
      </c>
      <c r="F4" s="21" t="s">
        <v>23</v>
      </c>
      <c r="G4" s="21" t="s">
        <v>24</v>
      </c>
      <c r="H4" s="12" t="s">
        <v>10</v>
      </c>
      <c r="I4" s="12" t="s">
        <v>11</v>
      </c>
      <c r="J4" s="12" t="s">
        <v>45</v>
      </c>
      <c r="K4" s="12" t="s">
        <v>58</v>
      </c>
      <c r="L4" s="12" t="s">
        <v>59</v>
      </c>
    </row>
    <row r="5" spans="1:12" s="5" customFormat="1" ht="15" customHeight="1">
      <c r="A5" s="11"/>
      <c r="B5" s="1"/>
      <c r="C5" s="3"/>
      <c r="D5" s="3"/>
      <c r="E5" s="2"/>
      <c r="F5" s="11"/>
      <c r="G5" s="11"/>
      <c r="H5" s="11"/>
      <c r="I5" s="11"/>
      <c r="J5" s="11"/>
      <c r="K5" s="11"/>
      <c r="L5" s="11"/>
    </row>
    <row r="6" spans="1:12" s="7" customFormat="1" ht="15" customHeight="1">
      <c r="A6" s="6"/>
      <c r="B6" s="4"/>
      <c r="C6" s="6"/>
      <c r="D6" s="6"/>
      <c r="E6" s="6"/>
      <c r="F6" s="6"/>
      <c r="G6" s="6"/>
    </row>
  </sheetData>
  <autoFilter ref="B4:J4" xr:uid="{39D8D359-6BF6-4C9E-9F7D-4C22CC860323}"/>
  <mergeCells count="3">
    <mergeCell ref="B2:E2"/>
    <mergeCell ref="C3:D3"/>
    <mergeCell ref="H3:L3"/>
  </mergeCells>
  <phoneticPr fontId="1"/>
  <conditionalFormatting sqref="D5">
    <cfRule type="expression" dxfId="0" priority="1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F10"/>
  <sheetViews>
    <sheetView showGridLines="0" workbookViewId="0"/>
  </sheetViews>
  <sheetFormatPr defaultColWidth="9.33203125" defaultRowHeight="19.5" customHeight="1"/>
  <cols>
    <col min="1" max="1" width="4" style="34" customWidth="1"/>
    <col min="2" max="2" width="21" style="34" customWidth="1"/>
    <col min="3" max="3" width="18.1640625" style="34" customWidth="1"/>
    <col min="4" max="4" width="9.33203125" style="34" customWidth="1"/>
    <col min="5" max="5" width="17.83203125" style="34" customWidth="1"/>
    <col min="6" max="6" width="20.33203125" style="34" customWidth="1"/>
    <col min="7" max="7" width="9.33203125" style="34" customWidth="1"/>
    <col min="8" max="16384" width="9.33203125" style="34"/>
  </cols>
  <sheetData>
    <row r="2" spans="2:6" s="32" customFormat="1" ht="19.5" customHeight="1" thickBot="1">
      <c r="B2" s="31" t="s">
        <v>2</v>
      </c>
      <c r="E2" s="32" t="s">
        <v>51</v>
      </c>
    </row>
    <row r="3" spans="2:6" s="32" customFormat="1" ht="19.5" customHeight="1" thickBot="1">
      <c r="B3" s="37" t="s">
        <v>3</v>
      </c>
      <c r="C3" s="8">
        <v>43214</v>
      </c>
      <c r="E3" s="35" t="s">
        <v>50</v>
      </c>
      <c r="F3" s="26" t="s">
        <v>48</v>
      </c>
    </row>
    <row r="4" spans="2:6" s="32" customFormat="1" ht="19.5" customHeight="1">
      <c r="B4" s="38" t="s">
        <v>46</v>
      </c>
      <c r="C4" s="25">
        <v>43298</v>
      </c>
    </row>
    <row r="5" spans="2:6" s="32" customFormat="1" ht="19.5" customHeight="1" thickBot="1">
      <c r="B5" s="39" t="s">
        <v>4</v>
      </c>
      <c r="C5" s="10">
        <f ca="1">TODAY()</f>
        <v>43323</v>
      </c>
      <c r="E5" s="33" t="s">
        <v>56</v>
      </c>
      <c r="F5" s="33"/>
    </row>
    <row r="6" spans="2:6" ht="19.5" customHeight="1" thickBot="1">
      <c r="E6" s="36" t="s">
        <v>57</v>
      </c>
      <c r="F6" s="28" t="s">
        <v>54</v>
      </c>
    </row>
    <row r="7" spans="2:6" ht="19.5" customHeight="1" thickBot="1">
      <c r="B7" s="31" t="s">
        <v>12</v>
      </c>
    </row>
    <row r="8" spans="2:6" ht="19.5" customHeight="1">
      <c r="B8" s="40" t="s">
        <v>13</v>
      </c>
      <c r="C8" s="13" t="s">
        <v>14</v>
      </c>
    </row>
    <row r="9" spans="2:6" ht="19.5" customHeight="1">
      <c r="B9" s="41" t="s">
        <v>15</v>
      </c>
      <c r="C9" s="9" t="s">
        <v>14</v>
      </c>
    </row>
    <row r="10" spans="2:6" ht="19.5" customHeight="1" thickBot="1">
      <c r="B10" s="42" t="s">
        <v>16</v>
      </c>
      <c r="C10" s="14" t="s">
        <v>14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  <x14:dataValidation type="list" allowBlank="1" showInputMessage="1" showErrorMessage="1" xr:uid="{2EFAF1D2-AD7F-4634-B418-26AECC9C51A8}">
          <x14:formula1>
            <xm:f>隠しシート!$K$1:$K$2</xm:f>
          </x14:formula1>
          <xm:sqref>F3</xm:sqref>
        </x14:dataValidation>
        <x14:dataValidation type="list" allowBlank="1" showInputMessage="1" showErrorMessage="1" xr:uid="{88E99FF1-AFBA-4E31-B4DC-063AA49DEEEC}">
          <x14:formula1>
            <xm:f>隠しシート!$N$1:$N$3</xm:f>
          </x14:formula1>
          <xm:sqref>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20" bestFit="1" customWidth="1"/>
    <col min="2" max="2" width="16.83203125" bestFit="1" customWidth="1"/>
    <col min="3" max="3" width="2.6640625" customWidth="1"/>
  </cols>
  <sheetData>
    <row r="1" spans="1:4">
      <c r="A1" s="23">
        <v>42736</v>
      </c>
      <c r="B1" s="15" t="s">
        <v>25</v>
      </c>
      <c r="D1" t="s">
        <v>41</v>
      </c>
    </row>
    <row r="2" spans="1:4">
      <c r="A2" s="23">
        <v>42744</v>
      </c>
      <c r="B2" s="15" t="s">
        <v>26</v>
      </c>
      <c r="D2" s="24" t="s">
        <v>42</v>
      </c>
    </row>
    <row r="3" spans="1:4">
      <c r="A3" s="23">
        <v>42777</v>
      </c>
      <c r="B3" s="15" t="s">
        <v>27</v>
      </c>
      <c r="D3" t="s">
        <v>44</v>
      </c>
    </row>
    <row r="4" spans="1:4">
      <c r="A4" s="23">
        <v>42814</v>
      </c>
      <c r="B4" s="15" t="s">
        <v>28</v>
      </c>
    </row>
    <row r="5" spans="1:4">
      <c r="A5" s="23">
        <v>42854</v>
      </c>
      <c r="B5" s="15" t="s">
        <v>29</v>
      </c>
    </row>
    <row r="6" spans="1:4">
      <c r="A6" s="23">
        <v>42858</v>
      </c>
      <c r="B6" s="15" t="s">
        <v>30</v>
      </c>
    </row>
    <row r="7" spans="1:4">
      <c r="A7" s="23">
        <v>42859</v>
      </c>
      <c r="B7" s="15" t="s">
        <v>31</v>
      </c>
    </row>
    <row r="8" spans="1:4">
      <c r="A8" s="23">
        <v>42860</v>
      </c>
      <c r="B8" s="15" t="s">
        <v>32</v>
      </c>
    </row>
    <row r="9" spans="1:4">
      <c r="A9" s="23">
        <v>42933</v>
      </c>
      <c r="B9" s="15" t="s">
        <v>33</v>
      </c>
    </row>
    <row r="10" spans="1:4">
      <c r="A10" s="23">
        <v>42958</v>
      </c>
      <c r="B10" s="15" t="s">
        <v>34</v>
      </c>
    </row>
    <row r="11" spans="1:4">
      <c r="A11" s="23">
        <v>42996</v>
      </c>
      <c r="B11" s="15" t="s">
        <v>35</v>
      </c>
    </row>
    <row r="12" spans="1:4">
      <c r="A12" s="23">
        <v>43001</v>
      </c>
      <c r="B12" s="15" t="s">
        <v>36</v>
      </c>
    </row>
    <row r="13" spans="1:4">
      <c r="A13" s="23">
        <v>43017</v>
      </c>
      <c r="B13" s="15" t="s">
        <v>37</v>
      </c>
    </row>
    <row r="14" spans="1:4">
      <c r="A14" s="23">
        <v>43042</v>
      </c>
      <c r="B14" s="15" t="s">
        <v>38</v>
      </c>
    </row>
    <row r="15" spans="1:4">
      <c r="A15" s="23">
        <v>43062</v>
      </c>
      <c r="B15" s="15" t="s">
        <v>39</v>
      </c>
    </row>
    <row r="16" spans="1:4">
      <c r="A16" s="23">
        <v>43092</v>
      </c>
      <c r="B16" s="15" t="s">
        <v>40</v>
      </c>
    </row>
    <row r="17" spans="1:2">
      <c r="A17" s="23">
        <v>43101</v>
      </c>
      <c r="B17" s="15" t="s">
        <v>25</v>
      </c>
    </row>
    <row r="18" spans="1:2">
      <c r="A18" s="23">
        <v>43108</v>
      </c>
      <c r="B18" s="15" t="s">
        <v>26</v>
      </c>
    </row>
    <row r="19" spans="1:2">
      <c r="A19" s="23">
        <v>43142</v>
      </c>
      <c r="B19" s="15" t="s">
        <v>27</v>
      </c>
    </row>
    <row r="20" spans="1:2">
      <c r="A20" s="23">
        <v>43180</v>
      </c>
      <c r="B20" s="15" t="s">
        <v>28</v>
      </c>
    </row>
    <row r="21" spans="1:2">
      <c r="A21" s="23">
        <v>43219</v>
      </c>
      <c r="B21" s="15" t="s">
        <v>29</v>
      </c>
    </row>
    <row r="22" spans="1:2">
      <c r="A22" s="23">
        <v>43223</v>
      </c>
      <c r="B22" s="15" t="s">
        <v>30</v>
      </c>
    </row>
    <row r="23" spans="1:2">
      <c r="A23" s="23">
        <v>43224</v>
      </c>
      <c r="B23" s="15" t="s">
        <v>31</v>
      </c>
    </row>
    <row r="24" spans="1:2">
      <c r="A24" s="23">
        <v>43225</v>
      </c>
      <c r="B24" s="15" t="s">
        <v>32</v>
      </c>
    </row>
    <row r="25" spans="1:2">
      <c r="A25" s="23">
        <v>43297</v>
      </c>
      <c r="B25" s="15" t="s">
        <v>33</v>
      </c>
    </row>
    <row r="26" spans="1:2">
      <c r="A26" s="23">
        <v>43323</v>
      </c>
      <c r="B26" s="15" t="s">
        <v>34</v>
      </c>
    </row>
    <row r="27" spans="1:2">
      <c r="A27" s="23">
        <v>43360</v>
      </c>
      <c r="B27" s="15" t="s">
        <v>35</v>
      </c>
    </row>
    <row r="28" spans="1:2">
      <c r="A28" s="23">
        <v>43366</v>
      </c>
      <c r="B28" s="15" t="s">
        <v>36</v>
      </c>
    </row>
    <row r="29" spans="1:2">
      <c r="A29" s="23">
        <v>43381</v>
      </c>
      <c r="B29" s="15" t="s">
        <v>37</v>
      </c>
    </row>
    <row r="30" spans="1:2">
      <c r="A30" s="23">
        <v>43407</v>
      </c>
      <c r="B30" s="15" t="s">
        <v>38</v>
      </c>
    </row>
    <row r="31" spans="1:2">
      <c r="A31" s="23">
        <v>43427</v>
      </c>
      <c r="B31" s="15" t="s">
        <v>39</v>
      </c>
    </row>
    <row r="32" spans="1:2">
      <c r="A32" s="23">
        <v>43457</v>
      </c>
      <c r="B32" s="15" t="s">
        <v>40</v>
      </c>
    </row>
    <row r="33" spans="1:2">
      <c r="A33" s="23">
        <v>43466</v>
      </c>
      <c r="B33" s="15" t="s">
        <v>25</v>
      </c>
    </row>
    <row r="34" spans="1:2">
      <c r="A34" s="23">
        <v>43479</v>
      </c>
      <c r="B34" s="15" t="s">
        <v>26</v>
      </c>
    </row>
    <row r="35" spans="1:2">
      <c r="A35" s="23">
        <v>43507</v>
      </c>
      <c r="B35" s="15" t="s">
        <v>27</v>
      </c>
    </row>
    <row r="36" spans="1:2">
      <c r="A36" s="23">
        <v>43545</v>
      </c>
      <c r="B36" s="15" t="s">
        <v>28</v>
      </c>
    </row>
    <row r="37" spans="1:2">
      <c r="A37" s="23">
        <v>43584</v>
      </c>
      <c r="B37" s="15" t="s">
        <v>29</v>
      </c>
    </row>
    <row r="38" spans="1:2">
      <c r="A38" s="23">
        <v>43588</v>
      </c>
      <c r="B38" s="15" t="s">
        <v>30</v>
      </c>
    </row>
    <row r="39" spans="1:2">
      <c r="A39" s="23">
        <v>43589</v>
      </c>
      <c r="B39" s="15" t="s">
        <v>31</v>
      </c>
    </row>
    <row r="40" spans="1:2">
      <c r="A40" s="23">
        <v>43590</v>
      </c>
      <c r="B40" s="15" t="s">
        <v>32</v>
      </c>
    </row>
    <row r="41" spans="1:2">
      <c r="A41" s="23">
        <v>43661</v>
      </c>
      <c r="B41" s="15" t="s">
        <v>33</v>
      </c>
    </row>
    <row r="42" spans="1:2">
      <c r="A42" s="23">
        <v>43688</v>
      </c>
      <c r="B42" s="15" t="s">
        <v>34</v>
      </c>
    </row>
    <row r="43" spans="1:2">
      <c r="A43" s="23">
        <v>43724</v>
      </c>
      <c r="B43" s="15" t="s">
        <v>35</v>
      </c>
    </row>
    <row r="44" spans="1:2">
      <c r="A44" s="23">
        <v>43731</v>
      </c>
      <c r="B44" s="15" t="s">
        <v>36</v>
      </c>
    </row>
    <row r="45" spans="1:2">
      <c r="A45" s="23">
        <v>43752</v>
      </c>
      <c r="B45" s="15" t="s">
        <v>37</v>
      </c>
    </row>
    <row r="46" spans="1:2">
      <c r="A46" s="23">
        <v>43772</v>
      </c>
      <c r="B46" s="15" t="s">
        <v>38</v>
      </c>
    </row>
    <row r="47" spans="1:2">
      <c r="A47" s="23">
        <v>43792</v>
      </c>
      <c r="B47" s="15" t="s">
        <v>39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N3"/>
  <sheetViews>
    <sheetView showGridLines="0" workbookViewId="0">
      <selection activeCell="C52" sqref="C52"/>
    </sheetView>
  </sheetViews>
  <sheetFormatPr defaultRowHeight="11.25"/>
  <cols>
    <col min="1" max="2" width="15.83203125" style="17" customWidth="1"/>
    <col min="3" max="3" width="5.83203125" style="17" customWidth="1"/>
    <col min="4" max="5" width="15.83203125" style="17" customWidth="1"/>
    <col min="6" max="6" width="5.83203125" style="17" customWidth="1"/>
    <col min="7" max="8" width="15.83203125" style="17" customWidth="1"/>
    <col min="9" max="9" width="6.83203125" style="17" customWidth="1"/>
    <col min="10" max="11" width="17" style="17" customWidth="1"/>
    <col min="12" max="16384" width="9.33203125" style="17"/>
  </cols>
  <sheetData>
    <row r="1" spans="1:14">
      <c r="A1" s="16" t="s">
        <v>5</v>
      </c>
      <c r="B1" s="16">
        <v>90</v>
      </c>
      <c r="D1" s="46" t="s">
        <v>19</v>
      </c>
      <c r="E1" s="15" t="s">
        <v>17</v>
      </c>
      <c r="G1" s="15" t="s">
        <v>43</v>
      </c>
      <c r="H1" s="15">
        <f>COUNTA(祝日シート!A:A)</f>
        <v>47</v>
      </c>
      <c r="J1" s="48" t="s">
        <v>47</v>
      </c>
      <c r="K1" s="15" t="s">
        <v>48</v>
      </c>
      <c r="M1" s="27" t="s">
        <v>52</v>
      </c>
      <c r="N1" s="27" t="s">
        <v>53</v>
      </c>
    </row>
    <row r="2" spans="1:14">
      <c r="A2" s="16" t="s">
        <v>6</v>
      </c>
      <c r="B2" s="15">
        <v>1</v>
      </c>
      <c r="D2" s="47"/>
      <c r="E2" s="15" t="s">
        <v>18</v>
      </c>
      <c r="J2" s="48"/>
      <c r="K2" s="15" t="s">
        <v>49</v>
      </c>
      <c r="M2" s="27"/>
      <c r="N2" s="27" t="s">
        <v>54</v>
      </c>
    </row>
    <row r="3" spans="1:14">
      <c r="M3" s="27"/>
      <c r="N3" s="27" t="s">
        <v>55</v>
      </c>
    </row>
  </sheetData>
  <mergeCells count="2">
    <mergeCell ref="D1:D2"/>
    <mergeCell ref="J1:J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2018-08-10T15:35:34Z</dcterms:modified>
</cp:coreProperties>
</file>